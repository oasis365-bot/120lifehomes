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★(26년) 통계3팀\☆공공데이터☆\03 구축 및 제공♬♨\7월\135897\"/>
    </mc:Choice>
  </mc:AlternateContent>
  <bookViews>
    <workbookView xWindow="0" yWindow="0" windowWidth="28800" windowHeight="11070"/>
  </bookViews>
  <sheets>
    <sheet name="경기도 시군구별 장기요양기관 현황" sheetId="1" r:id="rId1"/>
    <sheet name="경기도 시군구별 장기요양요원 수 현황" sheetId="2" r:id="rId2"/>
  </sheets>
  <definedNames>
    <definedName name="_xlnm._FilterDatabase" localSheetId="0" hidden="1">'경기도 시군구별 장기요양기관 현황'!$G$2:$G$51</definedName>
    <definedName name="_xlnm.Print_Titles" localSheetId="0">'경기도 시군구별 장기요양기관 현황'!$2:$3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5" i="1" l="1"/>
  <c r="C25" i="1" s="1"/>
  <c r="D47" i="1"/>
  <c r="C47" i="1" s="1"/>
  <c r="D45" i="1" l="1"/>
  <c r="C45" i="1" s="1"/>
  <c r="D44" i="1"/>
  <c r="C44" i="1" s="1"/>
  <c r="D24" i="1"/>
  <c r="C24" i="1" s="1"/>
  <c r="D38" i="1"/>
  <c r="C38" i="1" s="1"/>
  <c r="D26" i="1"/>
  <c r="C26" i="1" s="1"/>
  <c r="D6" i="1"/>
  <c r="C6" i="1" s="1"/>
  <c r="D39" i="1"/>
  <c r="C39" i="1" s="1"/>
  <c r="D35" i="1"/>
  <c r="C35" i="1" s="1"/>
  <c r="D17" i="1"/>
  <c r="C17" i="1" s="1"/>
  <c r="D31" i="1"/>
  <c r="C31" i="1" s="1"/>
  <c r="D15" i="1"/>
  <c r="C15" i="1" s="1"/>
  <c r="D48" i="1"/>
  <c r="C48" i="1" s="1"/>
  <c r="D11" i="1"/>
  <c r="C11" i="1" s="1"/>
  <c r="D10" i="1"/>
  <c r="C10" i="1" s="1"/>
  <c r="D19" i="1"/>
  <c r="C19" i="1" s="1"/>
  <c r="D33" i="1"/>
  <c r="C33" i="1" s="1"/>
  <c r="D42" i="1"/>
  <c r="C42" i="1" s="1"/>
  <c r="D4" i="1"/>
  <c r="C4" i="1" s="1"/>
  <c r="D13" i="1"/>
  <c r="C13" i="1" s="1"/>
  <c r="D36" i="1"/>
  <c r="C36" i="1" s="1"/>
  <c r="D50" i="1"/>
  <c r="C50" i="1" s="1"/>
  <c r="D27" i="1"/>
  <c r="C27" i="1" s="1"/>
  <c r="D7" i="1"/>
  <c r="C7" i="1" s="1"/>
  <c r="D30" i="1"/>
  <c r="C30" i="1" s="1"/>
  <c r="D21" i="1"/>
  <c r="C21" i="1" s="1"/>
  <c r="D51" i="1"/>
  <c r="C51" i="1" s="1"/>
  <c r="D18" i="1"/>
  <c r="C18" i="1" s="1"/>
  <c r="D9" i="1"/>
  <c r="C9" i="1" s="1"/>
  <c r="D32" i="1"/>
  <c r="C32" i="1" s="1"/>
  <c r="D12" i="1"/>
  <c r="C12" i="1" s="1"/>
  <c r="D46" i="1"/>
  <c r="C46" i="1" s="1"/>
  <c r="D20" i="1"/>
  <c r="C20" i="1" s="1"/>
  <c r="D49" i="1"/>
  <c r="C49" i="1" s="1"/>
  <c r="D29" i="1"/>
  <c r="C29" i="1" s="1"/>
  <c r="D41" i="1"/>
  <c r="C41" i="1" s="1"/>
  <c r="D34" i="1"/>
  <c r="C34" i="1" s="1"/>
  <c r="D14" i="1"/>
  <c r="C14" i="1" s="1"/>
  <c r="D43" i="1"/>
  <c r="C43" i="1" s="1"/>
  <c r="D23" i="1"/>
  <c r="C23" i="1" s="1"/>
  <c r="D5" i="1"/>
  <c r="C5" i="1" s="1"/>
  <c r="D28" i="1"/>
  <c r="C28" i="1" s="1"/>
  <c r="D8" i="1"/>
  <c r="C8" i="1" s="1"/>
  <c r="D37" i="1"/>
  <c r="C37" i="1" s="1"/>
  <c r="D22" i="1"/>
  <c r="C22" i="1" s="1"/>
  <c r="D40" i="1"/>
  <c r="C40" i="1" s="1"/>
  <c r="D16" i="1"/>
  <c r="C16" i="1" s="1"/>
</calcChain>
</file>

<file path=xl/sharedStrings.xml><?xml version="1.0" encoding="utf-8"?>
<sst xmlns="http://schemas.openxmlformats.org/spreadsheetml/2006/main" count="259" uniqueCount="68">
  <si>
    <t>총계</t>
    <phoneticPr fontId="2" type="noConversion"/>
  </si>
  <si>
    <t>경기도</t>
  </si>
  <si>
    <t>하남시</t>
  </si>
  <si>
    <t>포천시</t>
  </si>
  <si>
    <t>평택시</t>
  </si>
  <si>
    <t>파주시</t>
  </si>
  <si>
    <t>이천시</t>
  </si>
  <si>
    <t>의정부시</t>
  </si>
  <si>
    <t>의왕시</t>
  </si>
  <si>
    <t>용인시 처인구</t>
  </si>
  <si>
    <t>용인시 수지구</t>
  </si>
  <si>
    <t>용인시 기흥구</t>
  </si>
  <si>
    <t>오산시</t>
  </si>
  <si>
    <t>연천군</t>
  </si>
  <si>
    <t>여주시</t>
  </si>
  <si>
    <t>양평군</t>
  </si>
  <si>
    <t>양주시</t>
  </si>
  <si>
    <t>안양시 만안구</t>
  </si>
  <si>
    <t>안양시 동안구</t>
  </si>
  <si>
    <t>안성시</t>
  </si>
  <si>
    <t>안산시 상록구</t>
  </si>
  <si>
    <t>안산시 단원구</t>
  </si>
  <si>
    <t>시흥시</t>
  </si>
  <si>
    <t>수원시 팔달구</t>
  </si>
  <si>
    <t>수원시 장안구</t>
  </si>
  <si>
    <t>수원시 영통구</t>
  </si>
  <si>
    <t>수원시 권선구</t>
  </si>
  <si>
    <t>성남시 중원구</t>
  </si>
  <si>
    <t>성남시 수정구</t>
  </si>
  <si>
    <t>성남시 분당구</t>
  </si>
  <si>
    <t>동두천시</t>
  </si>
  <si>
    <t>남양주시</t>
  </si>
  <si>
    <t>김포시</t>
  </si>
  <si>
    <t>군포시</t>
  </si>
  <si>
    <t>구리시</t>
  </si>
  <si>
    <t>광주시</t>
  </si>
  <si>
    <t>광명시</t>
  </si>
  <si>
    <t>과천시</t>
  </si>
  <si>
    <t>고양시 일산서구</t>
  </si>
  <si>
    <t>고양시 일산동구</t>
  </si>
  <si>
    <t>고양시 덕양구</t>
  </si>
  <si>
    <t>가평군</t>
  </si>
  <si>
    <t>소계</t>
    <phoneticPr fontId="2" type="noConversion"/>
  </si>
  <si>
    <t>공동생활가정</t>
    <phoneticPr fontId="2" type="noConversion"/>
  </si>
  <si>
    <t>노인요양시설</t>
    <phoneticPr fontId="2" type="noConversion"/>
  </si>
  <si>
    <t>재가급여기관 수</t>
    <phoneticPr fontId="2" type="noConversion"/>
  </si>
  <si>
    <t>시설급여 기관 수</t>
    <phoneticPr fontId="2" type="noConversion"/>
  </si>
  <si>
    <t>기관 수
(기호기준)</t>
    <phoneticPr fontId="2" type="noConversion"/>
  </si>
  <si>
    <t>시군구</t>
    <phoneticPr fontId="2" type="noConversion"/>
  </si>
  <si>
    <t>시도</t>
    <phoneticPr fontId="2" type="noConversion"/>
  </si>
  <si>
    <t>부천시 소사구</t>
  </si>
  <si>
    <t>부천시 오정구</t>
  </si>
  <si>
    <t>부천시 원미구</t>
  </si>
  <si>
    <t>화성시 동탄구</t>
  </si>
  <si>
    <t>화성시 만세구</t>
  </si>
  <si>
    <t>화성시 병점구</t>
  </si>
  <si>
    <t>화성시 효행구</t>
  </si>
  <si>
    <t>경기도 장기요양기관 현황</t>
    <phoneticPr fontId="2" type="noConversion"/>
  </si>
  <si>
    <t>경기도 장기요양요원 수 현황</t>
    <phoneticPr fontId="2" type="noConversion"/>
  </si>
  <si>
    <t xml:space="preserve"> - </t>
  </si>
  <si>
    <t>사회복지사</t>
    <phoneticPr fontId="2" type="noConversion"/>
  </si>
  <si>
    <t>간호사</t>
    <phoneticPr fontId="2" type="noConversion"/>
  </si>
  <si>
    <t>간호조무사</t>
    <phoneticPr fontId="2" type="noConversion"/>
  </si>
  <si>
    <t>치과위생사</t>
    <phoneticPr fontId="2" type="noConversion"/>
  </si>
  <si>
    <t>물리치료사</t>
    <phoneticPr fontId="2" type="noConversion"/>
  </si>
  <si>
    <t>작업치료사</t>
    <phoneticPr fontId="2" type="noConversion"/>
  </si>
  <si>
    <t>요양보호사</t>
    <phoneticPr fontId="2" type="noConversion"/>
  </si>
  <si>
    <t>직종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</si>
</sst>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25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1" fillId="0" borderId="0" xfId="1">
      <alignment vertical="center"/>
    </xf>
    <xf numFmtId="0" fontId="3" fillId="0" borderId="0" xfId="1" applyFont="1" applyAlignment="1">
      <alignment horizontal="center" vertical="center"/>
    </xf>
    <xf numFmtId="0" fontId="1" fillId="0" borderId="0" xfId="1" applyAlignment="1">
      <alignment horizontal="center" vertical="center"/>
    </xf>
    <xf numFmtId="0" fontId="1" fillId="0" borderId="1" xfId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41" fontId="3" fillId="2" borderId="1" xfId="3" applyFont="1" applyFill="1" applyBorder="1" applyAlignment="1">
      <alignment vertical="center"/>
    </xf>
    <xf numFmtId="41" fontId="0" fillId="0" borderId="1" xfId="3" applyFont="1" applyBorder="1">
      <alignment vertical="center"/>
    </xf>
    <xf numFmtId="0" fontId="5" fillId="3" borderId="6" xfId="1" applyFont="1" applyFill="1" applyBorder="1" applyAlignment="1">
      <alignment horizontal="center" vertical="center"/>
    </xf>
    <xf numFmtId="41" fontId="3" fillId="2" borderId="2" xfId="3" applyFont="1" applyFill="1" applyBorder="1" applyAlignment="1">
      <alignment vertical="center"/>
    </xf>
    <xf numFmtId="41" fontId="4" fillId="0" borderId="2" xfId="3" applyFont="1" applyBorder="1" applyAlignment="1">
      <alignment vertical="center"/>
    </xf>
    <xf numFmtId="0" fontId="3" fillId="2" borderId="8" xfId="1" applyFont="1" applyFill="1" applyBorder="1" applyAlignment="1">
      <alignment horizontal="center" vertical="center"/>
    </xf>
    <xf numFmtId="0" fontId="1" fillId="0" borderId="8" xfId="1" applyBorder="1" applyAlignment="1">
      <alignment horizontal="center" vertical="center"/>
    </xf>
    <xf numFmtId="0" fontId="0" fillId="0" borderId="0" xfId="1" applyFont="1" applyAlignment="1">
      <alignment vertical="center" wrapText="1"/>
    </xf>
    <xf numFmtId="41" fontId="3" fillId="2" borderId="1" xfId="3" applyFont="1" applyFill="1" applyBorder="1">
      <alignment vertical="center"/>
    </xf>
    <xf numFmtId="0" fontId="1" fillId="4" borderId="1" xfId="1" applyFill="1" applyBorder="1" applyAlignment="1">
      <alignment horizontal="center" vertical="center"/>
    </xf>
    <xf numFmtId="0" fontId="1" fillId="4" borderId="8" xfId="1" applyFill="1" applyBorder="1" applyAlignment="1">
      <alignment horizontal="center" vertical="center"/>
    </xf>
    <xf numFmtId="41" fontId="4" fillId="4" borderId="2" xfId="3" applyFont="1" applyFill="1" applyBorder="1" applyAlignment="1">
      <alignment vertical="center"/>
    </xf>
    <xf numFmtId="41" fontId="0" fillId="4" borderId="1" xfId="3" applyFont="1" applyFill="1" applyBorder="1">
      <alignment vertical="center"/>
    </xf>
    <xf numFmtId="0" fontId="1" fillId="4" borderId="0" xfId="1" applyFill="1">
      <alignment vertical="center"/>
    </xf>
    <xf numFmtId="41" fontId="4" fillId="0" borderId="1" xfId="3" applyFont="1" applyFill="1" applyBorder="1" applyAlignment="1">
      <alignment vertical="center"/>
    </xf>
    <xf numFmtId="0" fontId="3" fillId="3" borderId="7" xfId="1" applyFont="1" applyFill="1" applyBorder="1" applyAlignment="1">
      <alignment horizontal="center" vertical="center"/>
    </xf>
    <xf numFmtId="0" fontId="0" fillId="0" borderId="8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3" fontId="0" fillId="0" borderId="15" xfId="0" applyNumberFormat="1" applyBorder="1">
      <alignment vertical="center"/>
    </xf>
    <xf numFmtId="0" fontId="0" fillId="0" borderId="13" xfId="0" applyBorder="1">
      <alignment vertical="center"/>
    </xf>
    <xf numFmtId="0" fontId="0" fillId="0" borderId="1" xfId="0" applyBorder="1">
      <alignment vertical="center"/>
    </xf>
    <xf numFmtId="3" fontId="0" fillId="0" borderId="1" xfId="0" applyNumberFormat="1" applyBorder="1">
      <alignment vertical="center"/>
    </xf>
    <xf numFmtId="0" fontId="0" fillId="0" borderId="16" xfId="0" applyBorder="1">
      <alignment vertical="center"/>
    </xf>
    <xf numFmtId="0" fontId="1" fillId="0" borderId="15" xfId="1" applyFill="1" applyBorder="1" applyAlignment="1">
      <alignment horizontal="center" vertical="center"/>
    </xf>
    <xf numFmtId="0" fontId="3" fillId="3" borderId="10" xfId="1" applyFont="1" applyFill="1" applyBorder="1" applyAlignment="1">
      <alignment horizontal="center" vertical="center"/>
    </xf>
    <xf numFmtId="0" fontId="3" fillId="3" borderId="5" xfId="1" applyFont="1" applyFill="1" applyBorder="1" applyAlignment="1">
      <alignment horizontal="center" vertical="center"/>
    </xf>
    <xf numFmtId="0" fontId="3" fillId="3" borderId="7" xfId="1" applyFont="1" applyFill="1" applyBorder="1" applyAlignment="1">
      <alignment horizontal="center" vertical="center"/>
    </xf>
    <xf numFmtId="0" fontId="3" fillId="3" borderId="11" xfId="1" applyFont="1" applyFill="1" applyBorder="1" applyAlignment="1">
      <alignment horizontal="center" vertical="center"/>
    </xf>
    <xf numFmtId="0" fontId="3" fillId="3" borderId="12" xfId="1" applyFont="1" applyFill="1" applyBorder="1" applyAlignment="1">
      <alignment horizontal="center" vertical="center"/>
    </xf>
    <xf numFmtId="0" fontId="5" fillId="3" borderId="9" xfId="1" applyFont="1" applyFill="1" applyBorder="1" applyAlignment="1">
      <alignment horizontal="center" vertical="center" wrapText="1"/>
    </xf>
    <xf numFmtId="0" fontId="5" fillId="3" borderId="10" xfId="1" applyFont="1" applyFill="1" applyBorder="1" applyAlignment="1">
      <alignment horizontal="center" vertical="center"/>
    </xf>
    <xf numFmtId="0" fontId="5" fillId="3" borderId="4" xfId="1" applyFont="1" applyFill="1" applyBorder="1" applyAlignment="1">
      <alignment horizontal="center" vertical="center"/>
    </xf>
    <xf numFmtId="0" fontId="5" fillId="3" borderId="3" xfId="1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/>
    </xf>
    <xf numFmtId="0" fontId="5" fillId="3" borderId="5" xfId="1" applyFont="1" applyFill="1" applyBorder="1" applyAlignment="1">
      <alignment horizontal="center" vertical="center" wrapText="1"/>
    </xf>
    <xf numFmtId="0" fontId="5" fillId="3" borderId="7" xfId="1" applyFont="1" applyFill="1" applyBorder="1" applyAlignment="1">
      <alignment horizontal="center" vertical="center" wrapText="1"/>
    </xf>
    <xf numFmtId="0" fontId="3" fillId="3" borderId="3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6" fillId="0" borderId="0" xfId="1" applyFont="1" applyAlignment="1">
      <alignment vertical="center"/>
    </xf>
  </cellXfs>
  <cellStyles count="4">
    <cellStyle name="쉼표 [0]" xfId="3" builtinId="6"/>
    <cellStyle name="쉼표 [0] 2" xfId="2"/>
    <cellStyle name="표준" xfId="0" builtinId="0"/>
    <cellStyle name="표준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51"/>
  <sheetViews>
    <sheetView tabSelected="1" zoomScaleNormal="100" workbookViewId="0"/>
  </sheetViews>
  <sheetFormatPr defaultRowHeight="16.5" x14ac:dyDescent="0.3"/>
  <cols>
    <col min="1" max="1" width="17" style="3" customWidth="1"/>
    <col min="2" max="2" width="18.125" style="3" bestFit="1" customWidth="1"/>
    <col min="3" max="3" width="11.625" style="2" customWidth="1"/>
    <col min="4" max="4" width="9.625" style="1" customWidth="1"/>
    <col min="5" max="6" width="12" style="1" customWidth="1"/>
    <col min="7" max="7" width="16.125" style="1" bestFit="1" customWidth="1"/>
    <col min="8" max="16384" width="9" style="1"/>
  </cols>
  <sheetData>
    <row r="1" spans="1:9" ht="37.5" x14ac:dyDescent="0.3">
      <c r="A1" s="45" t="s">
        <v>57</v>
      </c>
      <c r="B1" s="45"/>
      <c r="C1" s="45"/>
      <c r="D1" s="45"/>
      <c r="E1" s="45"/>
      <c r="F1" s="45"/>
      <c r="G1" s="45"/>
      <c r="I1" s="13"/>
    </row>
    <row r="2" spans="1:9" ht="16.5" customHeight="1" x14ac:dyDescent="0.3">
      <c r="A2" s="32" t="s">
        <v>49</v>
      </c>
      <c r="B2" s="34" t="s">
        <v>48</v>
      </c>
      <c r="C2" s="36" t="s">
        <v>47</v>
      </c>
      <c r="D2" s="38" t="s">
        <v>46</v>
      </c>
      <c r="E2" s="39"/>
      <c r="F2" s="40"/>
      <c r="G2" s="41" t="s">
        <v>45</v>
      </c>
    </row>
    <row r="3" spans="1:9" ht="17.25" thickBot="1" x14ac:dyDescent="0.35">
      <c r="A3" s="33"/>
      <c r="B3" s="35"/>
      <c r="C3" s="37"/>
      <c r="D3" s="8" t="s">
        <v>42</v>
      </c>
      <c r="E3" s="8" t="s">
        <v>44</v>
      </c>
      <c r="F3" s="8" t="s">
        <v>43</v>
      </c>
      <c r="G3" s="42"/>
    </row>
    <row r="4" spans="1:9" ht="17.25" thickTop="1" x14ac:dyDescent="0.3">
      <c r="A4" s="5" t="s">
        <v>1</v>
      </c>
      <c r="B4" s="11" t="s">
        <v>0</v>
      </c>
      <c r="C4" s="9">
        <f t="shared" ref="C4:C46" si="0">SUM(D4,G4)</f>
        <v>7389</v>
      </c>
      <c r="D4" s="14">
        <f t="shared" ref="D4:D48" si="1">SUM(E4,F4)</f>
        <v>2225</v>
      </c>
      <c r="E4" s="6">
        <v>1751</v>
      </c>
      <c r="F4" s="6">
        <v>474</v>
      </c>
      <c r="G4" s="6">
        <v>5164</v>
      </c>
    </row>
    <row r="5" spans="1:9" x14ac:dyDescent="0.3">
      <c r="A5" s="4" t="s">
        <v>1</v>
      </c>
      <c r="B5" s="12" t="s">
        <v>41</v>
      </c>
      <c r="C5" s="10">
        <f t="shared" si="0"/>
        <v>59</v>
      </c>
      <c r="D5" s="7">
        <f t="shared" si="1"/>
        <v>16</v>
      </c>
      <c r="E5" s="20">
        <v>12</v>
      </c>
      <c r="F5" s="20">
        <v>4</v>
      </c>
      <c r="G5" s="20">
        <v>43</v>
      </c>
    </row>
    <row r="6" spans="1:9" x14ac:dyDescent="0.3">
      <c r="A6" s="4" t="s">
        <v>1</v>
      </c>
      <c r="B6" s="12" t="s">
        <v>40</v>
      </c>
      <c r="C6" s="10">
        <f t="shared" si="0"/>
        <v>296</v>
      </c>
      <c r="D6" s="7">
        <f t="shared" si="1"/>
        <v>83</v>
      </c>
      <c r="E6" s="20">
        <v>65</v>
      </c>
      <c r="F6" s="20">
        <v>18</v>
      </c>
      <c r="G6" s="20">
        <v>213</v>
      </c>
    </row>
    <row r="7" spans="1:9" x14ac:dyDescent="0.3">
      <c r="A7" s="4" t="s">
        <v>1</v>
      </c>
      <c r="B7" s="12" t="s">
        <v>39</v>
      </c>
      <c r="C7" s="10">
        <f t="shared" si="0"/>
        <v>241</v>
      </c>
      <c r="D7" s="7">
        <f t="shared" si="1"/>
        <v>88</v>
      </c>
      <c r="E7" s="20">
        <v>78</v>
      </c>
      <c r="F7" s="20">
        <v>10</v>
      </c>
      <c r="G7" s="20">
        <v>153</v>
      </c>
    </row>
    <row r="8" spans="1:9" x14ac:dyDescent="0.3">
      <c r="A8" s="4" t="s">
        <v>1</v>
      </c>
      <c r="B8" s="12" t="s">
        <v>38</v>
      </c>
      <c r="C8" s="10">
        <f t="shared" si="0"/>
        <v>167</v>
      </c>
      <c r="D8" s="7">
        <f t="shared" si="1"/>
        <v>34</v>
      </c>
      <c r="E8" s="20">
        <v>22</v>
      </c>
      <c r="F8" s="20">
        <v>12</v>
      </c>
      <c r="G8" s="20">
        <v>133</v>
      </c>
    </row>
    <row r="9" spans="1:9" x14ac:dyDescent="0.3">
      <c r="A9" s="4" t="s">
        <v>1</v>
      </c>
      <c r="B9" s="12" t="s">
        <v>37</v>
      </c>
      <c r="C9" s="10">
        <f t="shared" si="0"/>
        <v>21</v>
      </c>
      <c r="D9" s="7">
        <f t="shared" si="1"/>
        <v>3</v>
      </c>
      <c r="E9" s="20">
        <v>3</v>
      </c>
      <c r="F9" s="20">
        <v>0</v>
      </c>
      <c r="G9" s="20">
        <v>18</v>
      </c>
    </row>
    <row r="10" spans="1:9" x14ac:dyDescent="0.3">
      <c r="A10" s="4" t="s">
        <v>1</v>
      </c>
      <c r="B10" s="12" t="s">
        <v>36</v>
      </c>
      <c r="C10" s="10">
        <f t="shared" si="0"/>
        <v>110</v>
      </c>
      <c r="D10" s="7">
        <f t="shared" si="1"/>
        <v>16</v>
      </c>
      <c r="E10" s="20">
        <v>15</v>
      </c>
      <c r="F10" s="20">
        <v>1</v>
      </c>
      <c r="G10" s="20">
        <v>94</v>
      </c>
    </row>
    <row r="11" spans="1:9" x14ac:dyDescent="0.3">
      <c r="A11" s="4" t="s">
        <v>1</v>
      </c>
      <c r="B11" s="12" t="s">
        <v>35</v>
      </c>
      <c r="C11" s="10">
        <f t="shared" si="0"/>
        <v>178</v>
      </c>
      <c r="D11" s="7">
        <f t="shared" si="1"/>
        <v>47</v>
      </c>
      <c r="E11" s="20">
        <v>41</v>
      </c>
      <c r="F11" s="20">
        <v>6</v>
      </c>
      <c r="G11" s="20">
        <v>131</v>
      </c>
    </row>
    <row r="12" spans="1:9" x14ac:dyDescent="0.3">
      <c r="A12" s="4" t="s">
        <v>1</v>
      </c>
      <c r="B12" s="12" t="s">
        <v>34</v>
      </c>
      <c r="C12" s="10">
        <f t="shared" si="0"/>
        <v>85</v>
      </c>
      <c r="D12" s="7">
        <f t="shared" si="1"/>
        <v>19</v>
      </c>
      <c r="E12" s="20">
        <v>12</v>
      </c>
      <c r="F12" s="20">
        <v>7</v>
      </c>
      <c r="G12" s="20">
        <v>66</v>
      </c>
    </row>
    <row r="13" spans="1:9" x14ac:dyDescent="0.3">
      <c r="A13" s="4" t="s">
        <v>1</v>
      </c>
      <c r="B13" s="12" t="s">
        <v>33</v>
      </c>
      <c r="C13" s="10">
        <f t="shared" si="0"/>
        <v>142</v>
      </c>
      <c r="D13" s="7">
        <f t="shared" si="1"/>
        <v>51</v>
      </c>
      <c r="E13" s="20">
        <v>36</v>
      </c>
      <c r="F13" s="20">
        <v>15</v>
      </c>
      <c r="G13" s="20">
        <v>91</v>
      </c>
    </row>
    <row r="14" spans="1:9" x14ac:dyDescent="0.3">
      <c r="A14" s="4" t="s">
        <v>1</v>
      </c>
      <c r="B14" s="12" t="s">
        <v>32</v>
      </c>
      <c r="C14" s="10">
        <f t="shared" si="0"/>
        <v>205</v>
      </c>
      <c r="D14" s="7">
        <f t="shared" si="1"/>
        <v>63</v>
      </c>
      <c r="E14" s="20">
        <v>50</v>
      </c>
      <c r="F14" s="20">
        <v>13</v>
      </c>
      <c r="G14" s="20">
        <v>142</v>
      </c>
    </row>
    <row r="15" spans="1:9" x14ac:dyDescent="0.3">
      <c r="A15" s="4" t="s">
        <v>1</v>
      </c>
      <c r="B15" s="12" t="s">
        <v>31</v>
      </c>
      <c r="C15" s="10">
        <f t="shared" si="0"/>
        <v>511</v>
      </c>
      <c r="D15" s="7">
        <f t="shared" si="1"/>
        <v>188</v>
      </c>
      <c r="E15" s="20">
        <v>139</v>
      </c>
      <c r="F15" s="20">
        <v>49</v>
      </c>
      <c r="G15" s="20">
        <v>323</v>
      </c>
    </row>
    <row r="16" spans="1:9" x14ac:dyDescent="0.3">
      <c r="A16" s="4" t="s">
        <v>1</v>
      </c>
      <c r="B16" s="12" t="s">
        <v>30</v>
      </c>
      <c r="C16" s="10">
        <f t="shared" si="0"/>
        <v>106</v>
      </c>
      <c r="D16" s="7">
        <f t="shared" si="1"/>
        <v>40</v>
      </c>
      <c r="E16" s="20">
        <v>31</v>
      </c>
      <c r="F16" s="20">
        <v>9</v>
      </c>
      <c r="G16" s="20">
        <v>66</v>
      </c>
    </row>
    <row r="17" spans="1:7" x14ac:dyDescent="0.3">
      <c r="A17" s="4" t="s">
        <v>1</v>
      </c>
      <c r="B17" s="12" t="s">
        <v>50</v>
      </c>
      <c r="C17" s="10">
        <f t="shared" si="0"/>
        <v>120</v>
      </c>
      <c r="D17" s="7">
        <f t="shared" si="1"/>
        <v>31</v>
      </c>
      <c r="E17" s="20">
        <v>24</v>
      </c>
      <c r="F17" s="20">
        <v>7</v>
      </c>
      <c r="G17" s="20">
        <v>89</v>
      </c>
    </row>
    <row r="18" spans="1:7" x14ac:dyDescent="0.3">
      <c r="A18" s="4" t="s">
        <v>1</v>
      </c>
      <c r="B18" s="12" t="s">
        <v>51</v>
      </c>
      <c r="C18" s="10">
        <f t="shared" si="0"/>
        <v>106</v>
      </c>
      <c r="D18" s="7">
        <f t="shared" si="1"/>
        <v>25</v>
      </c>
      <c r="E18" s="20">
        <v>14</v>
      </c>
      <c r="F18" s="20">
        <v>11</v>
      </c>
      <c r="G18" s="20">
        <v>81</v>
      </c>
    </row>
    <row r="19" spans="1:7" x14ac:dyDescent="0.3">
      <c r="A19" s="4" t="s">
        <v>1</v>
      </c>
      <c r="B19" s="12" t="s">
        <v>52</v>
      </c>
      <c r="C19" s="10">
        <f t="shared" si="0"/>
        <v>291</v>
      </c>
      <c r="D19" s="7">
        <f t="shared" si="1"/>
        <v>84</v>
      </c>
      <c r="E19" s="20">
        <v>58</v>
      </c>
      <c r="F19" s="20">
        <v>26</v>
      </c>
      <c r="G19" s="20">
        <v>207</v>
      </c>
    </row>
    <row r="20" spans="1:7" s="19" customFormat="1" x14ac:dyDescent="0.3">
      <c r="A20" s="15" t="s">
        <v>1</v>
      </c>
      <c r="B20" s="16" t="s">
        <v>29</v>
      </c>
      <c r="C20" s="17">
        <f t="shared" si="0"/>
        <v>158</v>
      </c>
      <c r="D20" s="18">
        <f t="shared" si="1"/>
        <v>15</v>
      </c>
      <c r="E20" s="20">
        <v>12</v>
      </c>
      <c r="F20" s="20">
        <v>3</v>
      </c>
      <c r="G20" s="20">
        <v>143</v>
      </c>
    </row>
    <row r="21" spans="1:7" x14ac:dyDescent="0.3">
      <c r="A21" s="4" t="s">
        <v>1</v>
      </c>
      <c r="B21" s="12" t="s">
        <v>28</v>
      </c>
      <c r="C21" s="10">
        <f t="shared" si="0"/>
        <v>100</v>
      </c>
      <c r="D21" s="7">
        <f t="shared" si="1"/>
        <v>13</v>
      </c>
      <c r="E21" s="20">
        <v>11</v>
      </c>
      <c r="F21" s="20">
        <v>2</v>
      </c>
      <c r="G21" s="20">
        <v>87</v>
      </c>
    </row>
    <row r="22" spans="1:7" x14ac:dyDescent="0.3">
      <c r="A22" s="4" t="s">
        <v>1</v>
      </c>
      <c r="B22" s="12" t="s">
        <v>27</v>
      </c>
      <c r="C22" s="10">
        <f t="shared" si="0"/>
        <v>91</v>
      </c>
      <c r="D22" s="7">
        <f t="shared" si="1"/>
        <v>14</v>
      </c>
      <c r="E22" s="20">
        <v>12</v>
      </c>
      <c r="F22" s="20">
        <v>2</v>
      </c>
      <c r="G22" s="20">
        <v>77</v>
      </c>
    </row>
    <row r="23" spans="1:7" x14ac:dyDescent="0.3">
      <c r="A23" s="4" t="s">
        <v>1</v>
      </c>
      <c r="B23" s="12" t="s">
        <v>26</v>
      </c>
      <c r="C23" s="10">
        <f t="shared" si="0"/>
        <v>176</v>
      </c>
      <c r="D23" s="7">
        <f t="shared" si="1"/>
        <v>41</v>
      </c>
      <c r="E23" s="20">
        <v>34</v>
      </c>
      <c r="F23" s="20">
        <v>7</v>
      </c>
      <c r="G23" s="20">
        <v>135</v>
      </c>
    </row>
    <row r="24" spans="1:7" x14ac:dyDescent="0.3">
      <c r="A24" s="4" t="s">
        <v>1</v>
      </c>
      <c r="B24" s="12" t="s">
        <v>25</v>
      </c>
      <c r="C24" s="10">
        <f t="shared" si="0"/>
        <v>79</v>
      </c>
      <c r="D24" s="7">
        <f t="shared" si="1"/>
        <v>13</v>
      </c>
      <c r="E24" s="20">
        <v>13</v>
      </c>
      <c r="F24" s="20">
        <v>0</v>
      </c>
      <c r="G24" s="20">
        <v>66</v>
      </c>
    </row>
    <row r="25" spans="1:7" x14ac:dyDescent="0.3">
      <c r="A25" s="4" t="s">
        <v>1</v>
      </c>
      <c r="B25" s="12" t="s">
        <v>24</v>
      </c>
      <c r="C25" s="10">
        <f t="shared" si="0"/>
        <v>140</v>
      </c>
      <c r="D25" s="7">
        <f t="shared" si="1"/>
        <v>32</v>
      </c>
      <c r="E25" s="20">
        <v>29</v>
      </c>
      <c r="F25" s="20">
        <v>3</v>
      </c>
      <c r="G25" s="20">
        <v>108</v>
      </c>
    </row>
    <row r="26" spans="1:7" x14ac:dyDescent="0.3">
      <c r="A26" s="4" t="s">
        <v>1</v>
      </c>
      <c r="B26" s="12" t="s">
        <v>23</v>
      </c>
      <c r="C26" s="10">
        <f t="shared" si="0"/>
        <v>115</v>
      </c>
      <c r="D26" s="7">
        <f t="shared" si="1"/>
        <v>26</v>
      </c>
      <c r="E26" s="20">
        <v>22</v>
      </c>
      <c r="F26" s="20">
        <v>4</v>
      </c>
      <c r="G26" s="20">
        <v>89</v>
      </c>
    </row>
    <row r="27" spans="1:7" x14ac:dyDescent="0.3">
      <c r="A27" s="4" t="s">
        <v>1</v>
      </c>
      <c r="B27" s="12" t="s">
        <v>22</v>
      </c>
      <c r="C27" s="10">
        <f t="shared" si="0"/>
        <v>319</v>
      </c>
      <c r="D27" s="7">
        <f t="shared" si="1"/>
        <v>121</v>
      </c>
      <c r="E27" s="20">
        <v>90</v>
      </c>
      <c r="F27" s="20">
        <v>31</v>
      </c>
      <c r="G27" s="20">
        <v>198</v>
      </c>
    </row>
    <row r="28" spans="1:7" x14ac:dyDescent="0.3">
      <c r="A28" s="4" t="s">
        <v>1</v>
      </c>
      <c r="B28" s="12" t="s">
        <v>21</v>
      </c>
      <c r="C28" s="10">
        <f t="shared" si="0"/>
        <v>154</v>
      </c>
      <c r="D28" s="7">
        <f t="shared" si="1"/>
        <v>65</v>
      </c>
      <c r="E28" s="20">
        <v>58</v>
      </c>
      <c r="F28" s="20">
        <v>7</v>
      </c>
      <c r="G28" s="20">
        <v>89</v>
      </c>
    </row>
    <row r="29" spans="1:7" x14ac:dyDescent="0.3">
      <c r="A29" s="4" t="s">
        <v>1</v>
      </c>
      <c r="B29" s="12" t="s">
        <v>20</v>
      </c>
      <c r="C29" s="10">
        <f t="shared" si="0"/>
        <v>178</v>
      </c>
      <c r="D29" s="7">
        <f t="shared" si="1"/>
        <v>75</v>
      </c>
      <c r="E29" s="20">
        <v>49</v>
      </c>
      <c r="F29" s="20">
        <v>26</v>
      </c>
      <c r="G29" s="20">
        <v>103</v>
      </c>
    </row>
    <row r="30" spans="1:7" x14ac:dyDescent="0.3">
      <c r="A30" s="4" t="s">
        <v>1</v>
      </c>
      <c r="B30" s="12" t="s">
        <v>19</v>
      </c>
      <c r="C30" s="10">
        <f t="shared" si="0"/>
        <v>133</v>
      </c>
      <c r="D30" s="7">
        <f t="shared" si="1"/>
        <v>46</v>
      </c>
      <c r="E30" s="20">
        <v>36</v>
      </c>
      <c r="F30" s="20">
        <v>10</v>
      </c>
      <c r="G30" s="20">
        <v>87</v>
      </c>
    </row>
    <row r="31" spans="1:7" x14ac:dyDescent="0.3">
      <c r="A31" s="4" t="s">
        <v>1</v>
      </c>
      <c r="B31" s="12" t="s">
        <v>18</v>
      </c>
      <c r="C31" s="10">
        <f t="shared" si="0"/>
        <v>123</v>
      </c>
      <c r="D31" s="7">
        <f t="shared" si="1"/>
        <v>10</v>
      </c>
      <c r="E31" s="20">
        <v>7</v>
      </c>
      <c r="F31" s="20">
        <v>3</v>
      </c>
      <c r="G31" s="20">
        <v>113</v>
      </c>
    </row>
    <row r="32" spans="1:7" x14ac:dyDescent="0.3">
      <c r="A32" s="4" t="s">
        <v>1</v>
      </c>
      <c r="B32" s="12" t="s">
        <v>17</v>
      </c>
      <c r="C32" s="10">
        <f t="shared" si="0"/>
        <v>142</v>
      </c>
      <c r="D32" s="7">
        <f t="shared" si="1"/>
        <v>34</v>
      </c>
      <c r="E32" s="20">
        <v>20</v>
      </c>
      <c r="F32" s="20">
        <v>14</v>
      </c>
      <c r="G32" s="20">
        <v>108</v>
      </c>
    </row>
    <row r="33" spans="1:7" x14ac:dyDescent="0.3">
      <c r="A33" s="4" t="s">
        <v>1</v>
      </c>
      <c r="B33" s="12" t="s">
        <v>16</v>
      </c>
      <c r="C33" s="10">
        <f t="shared" si="0"/>
        <v>257</v>
      </c>
      <c r="D33" s="7">
        <f t="shared" si="1"/>
        <v>126</v>
      </c>
      <c r="E33" s="20">
        <v>106</v>
      </c>
      <c r="F33" s="20">
        <v>20</v>
      </c>
      <c r="G33" s="20">
        <v>131</v>
      </c>
    </row>
    <row r="34" spans="1:7" x14ac:dyDescent="0.3">
      <c r="A34" s="4" t="s">
        <v>1</v>
      </c>
      <c r="B34" s="12" t="s">
        <v>15</v>
      </c>
      <c r="C34" s="10">
        <f t="shared" si="0"/>
        <v>129</v>
      </c>
      <c r="D34" s="7">
        <f t="shared" si="1"/>
        <v>42</v>
      </c>
      <c r="E34" s="20">
        <v>35</v>
      </c>
      <c r="F34" s="20">
        <v>7</v>
      </c>
      <c r="G34" s="20">
        <v>87</v>
      </c>
    </row>
    <row r="35" spans="1:7" x14ac:dyDescent="0.3">
      <c r="A35" s="4" t="s">
        <v>1</v>
      </c>
      <c r="B35" s="12" t="s">
        <v>14</v>
      </c>
      <c r="C35" s="10">
        <f t="shared" si="0"/>
        <v>102</v>
      </c>
      <c r="D35" s="7">
        <f t="shared" si="1"/>
        <v>29</v>
      </c>
      <c r="E35" s="20">
        <v>21</v>
      </c>
      <c r="F35" s="20">
        <v>8</v>
      </c>
      <c r="G35" s="20">
        <v>73</v>
      </c>
    </row>
    <row r="36" spans="1:7" x14ac:dyDescent="0.3">
      <c r="A36" s="4" t="s">
        <v>1</v>
      </c>
      <c r="B36" s="12" t="s">
        <v>13</v>
      </c>
      <c r="C36" s="10">
        <f t="shared" si="0"/>
        <v>37</v>
      </c>
      <c r="D36" s="7">
        <f t="shared" si="1"/>
        <v>9</v>
      </c>
      <c r="E36" s="20">
        <v>7</v>
      </c>
      <c r="F36" s="20">
        <v>2</v>
      </c>
      <c r="G36" s="20">
        <v>28</v>
      </c>
    </row>
    <row r="37" spans="1:7" x14ac:dyDescent="0.3">
      <c r="A37" s="4" t="s">
        <v>1</v>
      </c>
      <c r="B37" s="12" t="s">
        <v>12</v>
      </c>
      <c r="C37" s="10">
        <f t="shared" si="0"/>
        <v>77</v>
      </c>
      <c r="D37" s="7">
        <f t="shared" si="1"/>
        <v>27</v>
      </c>
      <c r="E37" s="20">
        <v>26</v>
      </c>
      <c r="F37" s="20">
        <v>1</v>
      </c>
      <c r="G37" s="20">
        <v>50</v>
      </c>
    </row>
    <row r="38" spans="1:7" x14ac:dyDescent="0.3">
      <c r="A38" s="4" t="s">
        <v>1</v>
      </c>
      <c r="B38" s="12" t="s">
        <v>11</v>
      </c>
      <c r="C38" s="10">
        <f t="shared" si="0"/>
        <v>200</v>
      </c>
      <c r="D38" s="7">
        <f t="shared" si="1"/>
        <v>50</v>
      </c>
      <c r="E38" s="20">
        <v>41</v>
      </c>
      <c r="F38" s="20">
        <v>9</v>
      </c>
      <c r="G38" s="20">
        <v>150</v>
      </c>
    </row>
    <row r="39" spans="1:7" x14ac:dyDescent="0.3">
      <c r="A39" s="4" t="s">
        <v>1</v>
      </c>
      <c r="B39" s="12" t="s">
        <v>10</v>
      </c>
      <c r="C39" s="10">
        <f t="shared" si="0"/>
        <v>125</v>
      </c>
      <c r="D39" s="7">
        <f t="shared" si="1"/>
        <v>29</v>
      </c>
      <c r="E39" s="20">
        <v>22</v>
      </c>
      <c r="F39" s="20">
        <v>7</v>
      </c>
      <c r="G39" s="20">
        <v>96</v>
      </c>
    </row>
    <row r="40" spans="1:7" x14ac:dyDescent="0.3">
      <c r="A40" s="4" t="s">
        <v>1</v>
      </c>
      <c r="B40" s="12" t="s">
        <v>9</v>
      </c>
      <c r="C40" s="10">
        <f t="shared" si="0"/>
        <v>133</v>
      </c>
      <c r="D40" s="7">
        <f t="shared" si="1"/>
        <v>42</v>
      </c>
      <c r="E40" s="20">
        <v>38</v>
      </c>
      <c r="F40" s="20">
        <v>4</v>
      </c>
      <c r="G40" s="20">
        <v>91</v>
      </c>
    </row>
    <row r="41" spans="1:7" x14ac:dyDescent="0.3">
      <c r="A41" s="4" t="s">
        <v>1</v>
      </c>
      <c r="B41" s="12" t="s">
        <v>8</v>
      </c>
      <c r="C41" s="10">
        <f t="shared" si="0"/>
        <v>68</v>
      </c>
      <c r="D41" s="7">
        <f t="shared" si="1"/>
        <v>19</v>
      </c>
      <c r="E41" s="20">
        <v>16</v>
      </c>
      <c r="F41" s="20">
        <v>3</v>
      </c>
      <c r="G41" s="20">
        <v>49</v>
      </c>
    </row>
    <row r="42" spans="1:7" x14ac:dyDescent="0.3">
      <c r="A42" s="4" t="s">
        <v>1</v>
      </c>
      <c r="B42" s="12" t="s">
        <v>7</v>
      </c>
      <c r="C42" s="10">
        <f t="shared" si="0"/>
        <v>347</v>
      </c>
      <c r="D42" s="7">
        <f t="shared" si="1"/>
        <v>103</v>
      </c>
      <c r="E42" s="20">
        <v>82</v>
      </c>
      <c r="F42" s="20">
        <v>21</v>
      </c>
      <c r="G42" s="20">
        <v>244</v>
      </c>
    </row>
    <row r="43" spans="1:7" x14ac:dyDescent="0.3">
      <c r="A43" s="4" t="s">
        <v>1</v>
      </c>
      <c r="B43" s="12" t="s">
        <v>6</v>
      </c>
      <c r="C43" s="10">
        <f t="shared" si="0"/>
        <v>109</v>
      </c>
      <c r="D43" s="7">
        <f t="shared" si="1"/>
        <v>26</v>
      </c>
      <c r="E43" s="20">
        <v>23</v>
      </c>
      <c r="F43" s="20">
        <v>3</v>
      </c>
      <c r="G43" s="20">
        <v>83</v>
      </c>
    </row>
    <row r="44" spans="1:7" x14ac:dyDescent="0.3">
      <c r="A44" s="4" t="s">
        <v>1</v>
      </c>
      <c r="B44" s="12" t="s">
        <v>5</v>
      </c>
      <c r="C44" s="10">
        <f t="shared" si="0"/>
        <v>339</v>
      </c>
      <c r="D44" s="7">
        <f t="shared" si="1"/>
        <v>139</v>
      </c>
      <c r="E44" s="20">
        <v>100</v>
      </c>
      <c r="F44" s="20">
        <v>39</v>
      </c>
      <c r="G44" s="20">
        <v>200</v>
      </c>
    </row>
    <row r="45" spans="1:7" x14ac:dyDescent="0.3">
      <c r="A45" s="4" t="s">
        <v>1</v>
      </c>
      <c r="B45" s="12" t="s">
        <v>4</v>
      </c>
      <c r="C45" s="10">
        <f t="shared" si="0"/>
        <v>268</v>
      </c>
      <c r="D45" s="7">
        <f t="shared" si="1"/>
        <v>58</v>
      </c>
      <c r="E45" s="20">
        <v>46</v>
      </c>
      <c r="F45" s="20">
        <v>12</v>
      </c>
      <c r="G45" s="20">
        <v>210</v>
      </c>
    </row>
    <row r="46" spans="1:7" x14ac:dyDescent="0.3">
      <c r="A46" s="4" t="s">
        <v>1</v>
      </c>
      <c r="B46" s="12" t="s">
        <v>3</v>
      </c>
      <c r="C46" s="10">
        <f t="shared" si="0"/>
        <v>169</v>
      </c>
      <c r="D46" s="7">
        <f t="shared" si="1"/>
        <v>80</v>
      </c>
      <c r="E46" s="20">
        <v>63</v>
      </c>
      <c r="F46" s="20">
        <v>17</v>
      </c>
      <c r="G46" s="20">
        <v>89</v>
      </c>
    </row>
    <row r="47" spans="1:7" x14ac:dyDescent="0.3">
      <c r="A47" s="4" t="s">
        <v>1</v>
      </c>
      <c r="B47" s="12" t="s">
        <v>2</v>
      </c>
      <c r="C47" s="10">
        <f t="shared" ref="C47:C48" si="2">SUM(D47,G47)</f>
        <v>128</v>
      </c>
      <c r="D47" s="7">
        <f t="shared" si="1"/>
        <v>24</v>
      </c>
      <c r="E47" s="20">
        <v>21</v>
      </c>
      <c r="F47" s="20">
        <v>3</v>
      </c>
      <c r="G47" s="20">
        <v>104</v>
      </c>
    </row>
    <row r="48" spans="1:7" x14ac:dyDescent="0.3">
      <c r="A48" s="4" t="s">
        <v>1</v>
      </c>
      <c r="B48" s="12" t="s">
        <v>53</v>
      </c>
      <c r="C48" s="10">
        <f t="shared" si="2"/>
        <v>46</v>
      </c>
      <c r="D48" s="7">
        <f t="shared" si="1"/>
        <v>5</v>
      </c>
      <c r="E48" s="20">
        <v>5</v>
      </c>
      <c r="F48" s="20">
        <v>0</v>
      </c>
      <c r="G48" s="20">
        <v>41</v>
      </c>
    </row>
    <row r="49" spans="1:7" x14ac:dyDescent="0.3">
      <c r="A49" s="4" t="s">
        <v>1</v>
      </c>
      <c r="B49" s="12" t="s">
        <v>54</v>
      </c>
      <c r="C49" s="10">
        <f t="shared" ref="C49:C51" si="3">SUM(D49,G49)</f>
        <v>145</v>
      </c>
      <c r="D49" s="7">
        <f t="shared" ref="D49:D51" si="4">SUM(E49,F49)</f>
        <v>72</v>
      </c>
      <c r="E49" s="20">
        <v>60</v>
      </c>
      <c r="F49" s="20">
        <v>12</v>
      </c>
      <c r="G49" s="20">
        <v>73</v>
      </c>
    </row>
    <row r="50" spans="1:7" x14ac:dyDescent="0.3">
      <c r="A50" s="4" t="s">
        <v>1</v>
      </c>
      <c r="B50" s="12" t="s">
        <v>55</v>
      </c>
      <c r="C50" s="10">
        <f t="shared" si="3"/>
        <v>72</v>
      </c>
      <c r="D50" s="7">
        <f t="shared" si="4"/>
        <v>14</v>
      </c>
      <c r="E50" s="20">
        <v>13</v>
      </c>
      <c r="F50" s="20">
        <v>1</v>
      </c>
      <c r="G50" s="20">
        <v>58</v>
      </c>
    </row>
    <row r="51" spans="1:7" x14ac:dyDescent="0.3">
      <c r="A51" s="4" t="s">
        <v>1</v>
      </c>
      <c r="B51" s="12" t="s">
        <v>56</v>
      </c>
      <c r="C51" s="10">
        <f t="shared" si="3"/>
        <v>92</v>
      </c>
      <c r="D51" s="7">
        <f t="shared" si="4"/>
        <v>38</v>
      </c>
      <c r="E51" s="20">
        <v>33</v>
      </c>
      <c r="F51" s="20">
        <v>5</v>
      </c>
      <c r="G51" s="20">
        <v>54</v>
      </c>
    </row>
  </sheetData>
  <mergeCells count="5">
    <mergeCell ref="A2:A3"/>
    <mergeCell ref="B2:B3"/>
    <mergeCell ref="C2:C3"/>
    <mergeCell ref="D2:F2"/>
    <mergeCell ref="G2:G3"/>
  </mergeCells>
  <phoneticPr fontId="2" type="noConversion"/>
  <pageMargins left="0.7" right="0.7" top="0.75" bottom="0.75" header="0.3" footer="0.3"/>
  <pageSetup paperSize="9" scale="52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"/>
  <sheetViews>
    <sheetView workbookViewId="0"/>
  </sheetViews>
  <sheetFormatPr defaultRowHeight="16.5" x14ac:dyDescent="0.3"/>
  <cols>
    <col min="2" max="2" width="15.875" bestFit="1" customWidth="1"/>
    <col min="3" max="3" width="11" bestFit="1" customWidth="1"/>
    <col min="4" max="5" width="13.25" bestFit="1" customWidth="1"/>
    <col min="6" max="8" width="11.25" bestFit="1" customWidth="1"/>
    <col min="9" max="9" width="23.125" bestFit="1" customWidth="1"/>
  </cols>
  <sheetData>
    <row r="1" spans="1:9" ht="37.5" x14ac:dyDescent="0.3">
      <c r="A1" s="45" t="s">
        <v>58</v>
      </c>
      <c r="B1" s="45"/>
      <c r="C1" s="45"/>
      <c r="D1" s="45"/>
      <c r="E1" s="45"/>
      <c r="F1" s="45"/>
      <c r="G1" s="45"/>
      <c r="H1" s="45"/>
      <c r="I1" s="45"/>
    </row>
    <row r="2" spans="1:9" x14ac:dyDescent="0.3">
      <c r="A2" s="32" t="s">
        <v>49</v>
      </c>
      <c r="B2" s="34" t="s">
        <v>48</v>
      </c>
      <c r="C2" s="43" t="s">
        <v>67</v>
      </c>
      <c r="D2" s="43"/>
      <c r="E2" s="43"/>
      <c r="F2" s="43"/>
      <c r="G2" s="43"/>
      <c r="H2" s="43"/>
      <c r="I2" s="44"/>
    </row>
    <row r="3" spans="1:9" ht="16.5" customHeight="1" thickBot="1" x14ac:dyDescent="0.35">
      <c r="A3" s="33"/>
      <c r="B3" s="35"/>
      <c r="C3" s="31" t="s">
        <v>60</v>
      </c>
      <c r="D3" s="21" t="s">
        <v>61</v>
      </c>
      <c r="E3" s="21" t="s">
        <v>62</v>
      </c>
      <c r="F3" s="21" t="s">
        <v>63</v>
      </c>
      <c r="G3" s="21" t="s">
        <v>64</v>
      </c>
      <c r="H3" s="21" t="s">
        <v>65</v>
      </c>
      <c r="I3" s="21" t="s">
        <v>66</v>
      </c>
    </row>
    <row r="4" spans="1:9" ht="17.25" thickTop="1" x14ac:dyDescent="0.3">
      <c r="A4" s="30" t="s">
        <v>1</v>
      </c>
      <c r="B4" s="29" t="s">
        <v>24</v>
      </c>
      <c r="C4" s="23">
        <v>229</v>
      </c>
      <c r="D4" s="24">
        <v>62</v>
      </c>
      <c r="E4" s="24">
        <v>100</v>
      </c>
      <c r="F4" s="24" t="s">
        <v>59</v>
      </c>
      <c r="G4" s="24">
        <v>14</v>
      </c>
      <c r="H4" s="24">
        <v>15</v>
      </c>
      <c r="I4" s="25">
        <v>3932</v>
      </c>
    </row>
    <row r="5" spans="1:9" x14ac:dyDescent="0.3">
      <c r="A5" s="4" t="s">
        <v>1</v>
      </c>
      <c r="B5" s="22" t="s">
        <v>26</v>
      </c>
      <c r="C5" s="26">
        <v>262</v>
      </c>
      <c r="D5" s="27">
        <v>48</v>
      </c>
      <c r="E5" s="27">
        <v>107</v>
      </c>
      <c r="F5" s="27" t="s">
        <v>59</v>
      </c>
      <c r="G5" s="27">
        <v>20</v>
      </c>
      <c r="H5" s="27">
        <v>12</v>
      </c>
      <c r="I5" s="28">
        <v>4304</v>
      </c>
    </row>
    <row r="6" spans="1:9" x14ac:dyDescent="0.3">
      <c r="A6" s="4" t="s">
        <v>1</v>
      </c>
      <c r="B6" s="22" t="s">
        <v>23</v>
      </c>
      <c r="C6" s="26">
        <v>159</v>
      </c>
      <c r="D6" s="27">
        <v>32</v>
      </c>
      <c r="E6" s="27">
        <v>77</v>
      </c>
      <c r="F6" s="27" t="s">
        <v>59</v>
      </c>
      <c r="G6" s="27">
        <v>15</v>
      </c>
      <c r="H6" s="27">
        <v>9</v>
      </c>
      <c r="I6" s="28">
        <v>2731</v>
      </c>
    </row>
    <row r="7" spans="1:9" x14ac:dyDescent="0.3">
      <c r="A7" s="4" t="s">
        <v>1</v>
      </c>
      <c r="B7" s="22" t="s">
        <v>25</v>
      </c>
      <c r="C7" s="26">
        <v>124</v>
      </c>
      <c r="D7" s="27">
        <v>43</v>
      </c>
      <c r="E7" s="27">
        <v>53</v>
      </c>
      <c r="F7" s="27" t="s">
        <v>59</v>
      </c>
      <c r="G7" s="27">
        <v>12</v>
      </c>
      <c r="H7" s="27">
        <v>3</v>
      </c>
      <c r="I7" s="28">
        <v>2204</v>
      </c>
    </row>
    <row r="8" spans="1:9" x14ac:dyDescent="0.3">
      <c r="A8" s="4" t="s">
        <v>1</v>
      </c>
      <c r="B8" s="22" t="s">
        <v>28</v>
      </c>
      <c r="C8" s="26">
        <v>156</v>
      </c>
      <c r="D8" s="27">
        <v>18</v>
      </c>
      <c r="E8" s="27">
        <v>39</v>
      </c>
      <c r="F8" s="27" t="s">
        <v>59</v>
      </c>
      <c r="G8" s="27">
        <v>10</v>
      </c>
      <c r="H8" s="27">
        <v>4</v>
      </c>
      <c r="I8" s="28">
        <v>2511</v>
      </c>
    </row>
    <row r="9" spans="1:9" x14ac:dyDescent="0.3">
      <c r="A9" s="4" t="s">
        <v>1</v>
      </c>
      <c r="B9" s="22" t="s">
        <v>27</v>
      </c>
      <c r="C9" s="26">
        <v>157</v>
      </c>
      <c r="D9" s="27">
        <v>25</v>
      </c>
      <c r="E9" s="27">
        <v>36</v>
      </c>
      <c r="F9" s="27" t="s">
        <v>59</v>
      </c>
      <c r="G9" s="27">
        <v>11</v>
      </c>
      <c r="H9" s="27">
        <v>4</v>
      </c>
      <c r="I9" s="28">
        <v>2807</v>
      </c>
    </row>
    <row r="10" spans="1:9" x14ac:dyDescent="0.3">
      <c r="A10" s="4" t="s">
        <v>1</v>
      </c>
      <c r="B10" s="22" t="s">
        <v>29</v>
      </c>
      <c r="C10" s="26">
        <v>293</v>
      </c>
      <c r="D10" s="27">
        <v>80</v>
      </c>
      <c r="E10" s="27">
        <v>237</v>
      </c>
      <c r="F10" s="27" t="s">
        <v>59</v>
      </c>
      <c r="G10" s="27">
        <v>11</v>
      </c>
      <c r="H10" s="27">
        <v>9</v>
      </c>
      <c r="I10" s="28">
        <v>5286</v>
      </c>
    </row>
    <row r="11" spans="1:9" x14ac:dyDescent="0.3">
      <c r="A11" s="4" t="s">
        <v>1</v>
      </c>
      <c r="B11" s="22" t="s">
        <v>7</v>
      </c>
      <c r="C11" s="26">
        <v>546</v>
      </c>
      <c r="D11" s="27">
        <v>27</v>
      </c>
      <c r="E11" s="27">
        <v>280</v>
      </c>
      <c r="F11" s="27" t="s">
        <v>59</v>
      </c>
      <c r="G11" s="27">
        <v>22</v>
      </c>
      <c r="H11" s="27">
        <v>27</v>
      </c>
      <c r="I11" s="28">
        <v>8580</v>
      </c>
    </row>
    <row r="12" spans="1:9" x14ac:dyDescent="0.3">
      <c r="A12" s="4" t="s">
        <v>1</v>
      </c>
      <c r="B12" s="22" t="s">
        <v>17</v>
      </c>
      <c r="C12" s="26">
        <v>220</v>
      </c>
      <c r="D12" s="27">
        <v>33</v>
      </c>
      <c r="E12" s="27">
        <v>86</v>
      </c>
      <c r="F12" s="27" t="s">
        <v>59</v>
      </c>
      <c r="G12" s="27">
        <v>14</v>
      </c>
      <c r="H12" s="27">
        <v>5</v>
      </c>
      <c r="I12" s="28">
        <v>3521</v>
      </c>
    </row>
    <row r="13" spans="1:9" x14ac:dyDescent="0.3">
      <c r="A13" s="4" t="s">
        <v>1</v>
      </c>
      <c r="B13" s="22" t="s">
        <v>18</v>
      </c>
      <c r="C13" s="26">
        <v>228</v>
      </c>
      <c r="D13" s="27">
        <v>24</v>
      </c>
      <c r="E13" s="27">
        <v>44</v>
      </c>
      <c r="F13" s="27" t="s">
        <v>59</v>
      </c>
      <c r="G13" s="27">
        <v>8</v>
      </c>
      <c r="H13" s="27">
        <v>1</v>
      </c>
      <c r="I13" s="28">
        <v>4616</v>
      </c>
    </row>
    <row r="14" spans="1:9" x14ac:dyDescent="0.3">
      <c r="A14" s="4" t="s">
        <v>1</v>
      </c>
      <c r="B14" s="22" t="s">
        <v>52</v>
      </c>
      <c r="C14" s="26">
        <v>385</v>
      </c>
      <c r="D14" s="27">
        <v>26</v>
      </c>
      <c r="E14" s="27">
        <v>190</v>
      </c>
      <c r="F14" s="27" t="s">
        <v>59</v>
      </c>
      <c r="G14" s="27">
        <v>16</v>
      </c>
      <c r="H14" s="27">
        <v>15</v>
      </c>
      <c r="I14" s="28">
        <v>7047</v>
      </c>
    </row>
    <row r="15" spans="1:9" x14ac:dyDescent="0.3">
      <c r="A15" s="4" t="s">
        <v>1</v>
      </c>
      <c r="B15" s="22" t="s">
        <v>50</v>
      </c>
      <c r="C15" s="26">
        <v>185</v>
      </c>
      <c r="D15" s="27">
        <v>21</v>
      </c>
      <c r="E15" s="27">
        <v>71</v>
      </c>
      <c r="F15" s="27" t="s">
        <v>59</v>
      </c>
      <c r="G15" s="27">
        <v>3</v>
      </c>
      <c r="H15" s="27">
        <v>8</v>
      </c>
      <c r="I15" s="28">
        <v>3103</v>
      </c>
    </row>
    <row r="16" spans="1:9" x14ac:dyDescent="0.3">
      <c r="A16" s="4" t="s">
        <v>1</v>
      </c>
      <c r="B16" s="22" t="s">
        <v>51</v>
      </c>
      <c r="C16" s="26">
        <v>149</v>
      </c>
      <c r="D16" s="27">
        <v>4</v>
      </c>
      <c r="E16" s="27">
        <v>43</v>
      </c>
      <c r="F16" s="27" t="s">
        <v>59</v>
      </c>
      <c r="G16" s="27">
        <v>3</v>
      </c>
      <c r="H16" s="27">
        <v>2</v>
      </c>
      <c r="I16" s="28">
        <v>2538</v>
      </c>
    </row>
    <row r="17" spans="1:9" x14ac:dyDescent="0.3">
      <c r="A17" s="4" t="s">
        <v>1</v>
      </c>
      <c r="B17" s="22" t="s">
        <v>36</v>
      </c>
      <c r="C17" s="26">
        <v>160</v>
      </c>
      <c r="D17" s="27">
        <v>13</v>
      </c>
      <c r="E17" s="27">
        <v>48</v>
      </c>
      <c r="F17" s="27" t="s">
        <v>59</v>
      </c>
      <c r="G17" s="27">
        <v>9</v>
      </c>
      <c r="H17" s="27">
        <v>2</v>
      </c>
      <c r="I17" s="28">
        <v>3050</v>
      </c>
    </row>
    <row r="18" spans="1:9" x14ac:dyDescent="0.3">
      <c r="A18" s="4" t="s">
        <v>1</v>
      </c>
      <c r="B18" s="22" t="s">
        <v>4</v>
      </c>
      <c r="C18" s="26">
        <v>411</v>
      </c>
      <c r="D18" s="27">
        <v>45</v>
      </c>
      <c r="E18" s="27">
        <v>181</v>
      </c>
      <c r="F18" s="27" t="s">
        <v>59</v>
      </c>
      <c r="G18" s="27">
        <v>22</v>
      </c>
      <c r="H18" s="27">
        <v>19</v>
      </c>
      <c r="I18" s="28">
        <v>6202</v>
      </c>
    </row>
    <row r="19" spans="1:9" x14ac:dyDescent="0.3">
      <c r="A19" s="15" t="s">
        <v>1</v>
      </c>
      <c r="B19" s="22" t="s">
        <v>30</v>
      </c>
      <c r="C19" s="26">
        <v>158</v>
      </c>
      <c r="D19" s="27">
        <v>6</v>
      </c>
      <c r="E19" s="27">
        <v>88</v>
      </c>
      <c r="F19" s="27" t="s">
        <v>59</v>
      </c>
      <c r="G19" s="27">
        <v>4</v>
      </c>
      <c r="H19" s="27">
        <v>14</v>
      </c>
      <c r="I19" s="28">
        <v>2133</v>
      </c>
    </row>
    <row r="20" spans="1:9" x14ac:dyDescent="0.3">
      <c r="A20" s="4" t="s">
        <v>1</v>
      </c>
      <c r="B20" s="22" t="s">
        <v>20</v>
      </c>
      <c r="C20" s="26">
        <v>270</v>
      </c>
      <c r="D20" s="27">
        <v>24</v>
      </c>
      <c r="E20" s="27">
        <v>163</v>
      </c>
      <c r="F20" s="27" t="s">
        <v>59</v>
      </c>
      <c r="G20" s="27">
        <v>17</v>
      </c>
      <c r="H20" s="27">
        <v>16</v>
      </c>
      <c r="I20" s="28">
        <v>4050</v>
      </c>
    </row>
    <row r="21" spans="1:9" x14ac:dyDescent="0.3">
      <c r="A21" s="4" t="s">
        <v>1</v>
      </c>
      <c r="B21" s="22" t="s">
        <v>21</v>
      </c>
      <c r="C21" s="26">
        <v>221</v>
      </c>
      <c r="D21" s="27">
        <v>7</v>
      </c>
      <c r="E21" s="27">
        <v>138</v>
      </c>
      <c r="F21" s="27" t="s">
        <v>59</v>
      </c>
      <c r="G21" s="27">
        <v>23</v>
      </c>
      <c r="H21" s="27">
        <v>12</v>
      </c>
      <c r="I21" s="28">
        <v>2756</v>
      </c>
    </row>
    <row r="22" spans="1:9" x14ac:dyDescent="0.3">
      <c r="A22" s="4" t="s">
        <v>1</v>
      </c>
      <c r="B22" s="22" t="s">
        <v>40</v>
      </c>
      <c r="C22" s="26">
        <v>420</v>
      </c>
      <c r="D22" s="27">
        <v>41</v>
      </c>
      <c r="E22" s="27">
        <v>218</v>
      </c>
      <c r="F22" s="27" t="s">
        <v>59</v>
      </c>
      <c r="G22" s="27">
        <v>23</v>
      </c>
      <c r="H22" s="27">
        <v>16</v>
      </c>
      <c r="I22" s="28">
        <v>7303</v>
      </c>
    </row>
    <row r="23" spans="1:9" x14ac:dyDescent="0.3">
      <c r="A23" s="4" t="s">
        <v>1</v>
      </c>
      <c r="B23" s="22" t="s">
        <v>39</v>
      </c>
      <c r="C23" s="26">
        <v>379</v>
      </c>
      <c r="D23" s="27">
        <v>34</v>
      </c>
      <c r="E23" s="27">
        <v>272</v>
      </c>
      <c r="F23" s="27" t="s">
        <v>59</v>
      </c>
      <c r="G23" s="27">
        <v>33</v>
      </c>
      <c r="H23" s="27">
        <v>22</v>
      </c>
      <c r="I23" s="28">
        <v>6406</v>
      </c>
    </row>
    <row r="24" spans="1:9" x14ac:dyDescent="0.3">
      <c r="A24" s="4" t="s">
        <v>1</v>
      </c>
      <c r="B24" s="22" t="s">
        <v>38</v>
      </c>
      <c r="C24" s="26">
        <v>232</v>
      </c>
      <c r="D24" s="27">
        <v>19</v>
      </c>
      <c r="E24" s="27">
        <v>128</v>
      </c>
      <c r="F24" s="27" t="s">
        <v>59</v>
      </c>
      <c r="G24" s="27">
        <v>2</v>
      </c>
      <c r="H24" s="27">
        <v>7</v>
      </c>
      <c r="I24" s="28">
        <v>3943</v>
      </c>
    </row>
    <row r="25" spans="1:9" x14ac:dyDescent="0.3">
      <c r="A25" s="4" t="s">
        <v>1</v>
      </c>
      <c r="B25" s="22" t="s">
        <v>37</v>
      </c>
      <c r="C25" s="26">
        <v>38</v>
      </c>
      <c r="D25" s="27">
        <v>13</v>
      </c>
      <c r="E25" s="27">
        <v>13</v>
      </c>
      <c r="F25" s="27" t="s">
        <v>59</v>
      </c>
      <c r="G25" s="27">
        <v>3</v>
      </c>
      <c r="H25" s="27" t="s">
        <v>59</v>
      </c>
      <c r="I25" s="27">
        <v>631</v>
      </c>
    </row>
    <row r="26" spans="1:9" x14ac:dyDescent="0.3">
      <c r="A26" s="4" t="s">
        <v>1</v>
      </c>
      <c r="B26" s="22" t="s">
        <v>34</v>
      </c>
      <c r="C26" s="26">
        <v>139</v>
      </c>
      <c r="D26" s="27">
        <v>18</v>
      </c>
      <c r="E26" s="27">
        <v>43</v>
      </c>
      <c r="F26" s="27" t="s">
        <v>59</v>
      </c>
      <c r="G26" s="27">
        <v>5</v>
      </c>
      <c r="H26" s="27">
        <v>3</v>
      </c>
      <c r="I26" s="28">
        <v>2278</v>
      </c>
    </row>
    <row r="27" spans="1:9" x14ac:dyDescent="0.3">
      <c r="A27" s="4" t="s">
        <v>1</v>
      </c>
      <c r="B27" s="22" t="s">
        <v>31</v>
      </c>
      <c r="C27" s="26">
        <v>826</v>
      </c>
      <c r="D27" s="27">
        <v>81</v>
      </c>
      <c r="E27" s="27">
        <v>478</v>
      </c>
      <c r="F27" s="27" t="s">
        <v>59</v>
      </c>
      <c r="G27" s="27">
        <v>63</v>
      </c>
      <c r="H27" s="27">
        <v>36</v>
      </c>
      <c r="I27" s="28">
        <v>11641</v>
      </c>
    </row>
    <row r="28" spans="1:9" x14ac:dyDescent="0.3">
      <c r="A28" s="4" t="s">
        <v>1</v>
      </c>
      <c r="B28" s="22" t="s">
        <v>12</v>
      </c>
      <c r="C28" s="26">
        <v>159</v>
      </c>
      <c r="D28" s="27">
        <v>26</v>
      </c>
      <c r="E28" s="27">
        <v>95</v>
      </c>
      <c r="F28" s="27" t="s">
        <v>59</v>
      </c>
      <c r="G28" s="27">
        <v>16</v>
      </c>
      <c r="H28" s="27">
        <v>12</v>
      </c>
      <c r="I28" s="28">
        <v>2217</v>
      </c>
    </row>
    <row r="29" spans="1:9" x14ac:dyDescent="0.3">
      <c r="A29" s="4" t="s">
        <v>1</v>
      </c>
      <c r="B29" s="22" t="s">
        <v>22</v>
      </c>
      <c r="C29" s="26">
        <v>405</v>
      </c>
      <c r="D29" s="27">
        <v>25</v>
      </c>
      <c r="E29" s="27">
        <v>244</v>
      </c>
      <c r="F29" s="27" t="s">
        <v>59</v>
      </c>
      <c r="G29" s="27">
        <v>21</v>
      </c>
      <c r="H29" s="27">
        <v>17</v>
      </c>
      <c r="I29" s="28">
        <v>5934</v>
      </c>
    </row>
    <row r="30" spans="1:9" x14ac:dyDescent="0.3">
      <c r="A30" s="4" t="s">
        <v>1</v>
      </c>
      <c r="B30" s="22" t="s">
        <v>33</v>
      </c>
      <c r="C30" s="26">
        <v>225</v>
      </c>
      <c r="D30" s="27">
        <v>70</v>
      </c>
      <c r="E30" s="27">
        <v>109</v>
      </c>
      <c r="F30" s="27" t="s">
        <v>59</v>
      </c>
      <c r="G30" s="27">
        <v>13</v>
      </c>
      <c r="H30" s="27">
        <v>9</v>
      </c>
      <c r="I30" s="28">
        <v>3201</v>
      </c>
    </row>
    <row r="31" spans="1:9" x14ac:dyDescent="0.3">
      <c r="A31" s="4" t="s">
        <v>1</v>
      </c>
      <c r="B31" s="22" t="s">
        <v>8</v>
      </c>
      <c r="C31" s="26">
        <v>100</v>
      </c>
      <c r="D31" s="27">
        <v>18</v>
      </c>
      <c r="E31" s="27">
        <v>87</v>
      </c>
      <c r="F31" s="27" t="s">
        <v>59</v>
      </c>
      <c r="G31" s="27">
        <v>8</v>
      </c>
      <c r="H31" s="27">
        <v>2</v>
      </c>
      <c r="I31" s="28">
        <v>1445</v>
      </c>
    </row>
    <row r="32" spans="1:9" x14ac:dyDescent="0.3">
      <c r="A32" s="4" t="s">
        <v>1</v>
      </c>
      <c r="B32" s="22" t="s">
        <v>2</v>
      </c>
      <c r="C32" s="26">
        <v>210</v>
      </c>
      <c r="D32" s="27">
        <v>32</v>
      </c>
      <c r="E32" s="27">
        <v>71</v>
      </c>
      <c r="F32" s="27" t="s">
        <v>59</v>
      </c>
      <c r="G32" s="27">
        <v>10</v>
      </c>
      <c r="H32" s="27">
        <v>8</v>
      </c>
      <c r="I32" s="28">
        <v>3045</v>
      </c>
    </row>
    <row r="33" spans="1:9" x14ac:dyDescent="0.3">
      <c r="A33" s="4" t="s">
        <v>1</v>
      </c>
      <c r="B33" s="22" t="s">
        <v>9</v>
      </c>
      <c r="C33" s="26">
        <v>222</v>
      </c>
      <c r="D33" s="27">
        <v>48</v>
      </c>
      <c r="E33" s="27">
        <v>132</v>
      </c>
      <c r="F33" s="27" t="s">
        <v>59</v>
      </c>
      <c r="G33" s="27">
        <v>28</v>
      </c>
      <c r="H33" s="27">
        <v>7</v>
      </c>
      <c r="I33" s="28">
        <v>3626</v>
      </c>
    </row>
    <row r="34" spans="1:9" x14ac:dyDescent="0.3">
      <c r="A34" s="4" t="s">
        <v>1</v>
      </c>
      <c r="B34" s="22" t="s">
        <v>11</v>
      </c>
      <c r="C34" s="26">
        <v>349</v>
      </c>
      <c r="D34" s="27">
        <v>80</v>
      </c>
      <c r="E34" s="27">
        <v>177</v>
      </c>
      <c r="F34" s="27" t="s">
        <v>59</v>
      </c>
      <c r="G34" s="27">
        <v>25</v>
      </c>
      <c r="H34" s="27">
        <v>12</v>
      </c>
      <c r="I34" s="28">
        <v>5908</v>
      </c>
    </row>
    <row r="35" spans="1:9" x14ac:dyDescent="0.3">
      <c r="A35" s="4" t="s">
        <v>1</v>
      </c>
      <c r="B35" s="22" t="s">
        <v>10</v>
      </c>
      <c r="C35" s="26">
        <v>223</v>
      </c>
      <c r="D35" s="27">
        <v>63</v>
      </c>
      <c r="E35" s="27">
        <v>106</v>
      </c>
      <c r="F35" s="27" t="s">
        <v>59</v>
      </c>
      <c r="G35" s="27">
        <v>13</v>
      </c>
      <c r="H35" s="27">
        <v>7</v>
      </c>
      <c r="I35" s="28">
        <v>3498</v>
      </c>
    </row>
    <row r="36" spans="1:9" x14ac:dyDescent="0.3">
      <c r="A36" s="4" t="s">
        <v>1</v>
      </c>
      <c r="B36" s="22" t="s">
        <v>5</v>
      </c>
      <c r="C36" s="26">
        <v>494</v>
      </c>
      <c r="D36" s="27">
        <v>71</v>
      </c>
      <c r="E36" s="27">
        <v>308</v>
      </c>
      <c r="F36" s="27" t="s">
        <v>59</v>
      </c>
      <c r="G36" s="27">
        <v>33</v>
      </c>
      <c r="H36" s="27">
        <v>25</v>
      </c>
      <c r="I36" s="28">
        <v>6220</v>
      </c>
    </row>
    <row r="37" spans="1:9" x14ac:dyDescent="0.3">
      <c r="A37" s="4" t="s">
        <v>1</v>
      </c>
      <c r="B37" s="22" t="s">
        <v>6</v>
      </c>
      <c r="C37" s="26">
        <v>174</v>
      </c>
      <c r="D37" s="27">
        <v>17</v>
      </c>
      <c r="E37" s="27">
        <v>57</v>
      </c>
      <c r="F37" s="27" t="s">
        <v>59</v>
      </c>
      <c r="G37" s="27">
        <v>11</v>
      </c>
      <c r="H37" s="27">
        <v>1</v>
      </c>
      <c r="I37" s="28">
        <v>2412</v>
      </c>
    </row>
    <row r="38" spans="1:9" x14ac:dyDescent="0.3">
      <c r="A38" s="4" t="s">
        <v>1</v>
      </c>
      <c r="B38" s="22" t="s">
        <v>19</v>
      </c>
      <c r="C38" s="26">
        <v>201</v>
      </c>
      <c r="D38" s="27">
        <v>17</v>
      </c>
      <c r="E38" s="27">
        <v>110</v>
      </c>
      <c r="F38" s="27" t="s">
        <v>59</v>
      </c>
      <c r="G38" s="27">
        <v>17</v>
      </c>
      <c r="H38" s="27">
        <v>8</v>
      </c>
      <c r="I38" s="28">
        <v>2769</v>
      </c>
    </row>
    <row r="39" spans="1:9" x14ac:dyDescent="0.3">
      <c r="A39" s="4" t="s">
        <v>1</v>
      </c>
      <c r="B39" s="22" t="s">
        <v>32</v>
      </c>
      <c r="C39" s="26">
        <v>323</v>
      </c>
      <c r="D39" s="27">
        <v>63</v>
      </c>
      <c r="E39" s="27">
        <v>202</v>
      </c>
      <c r="F39" s="27" t="s">
        <v>59</v>
      </c>
      <c r="G39" s="27">
        <v>29</v>
      </c>
      <c r="H39" s="27">
        <v>20</v>
      </c>
      <c r="I39" s="28">
        <v>4996</v>
      </c>
    </row>
    <row r="40" spans="1:9" x14ac:dyDescent="0.3">
      <c r="A40" s="4" t="s">
        <v>1</v>
      </c>
      <c r="B40" s="22" t="s">
        <v>54</v>
      </c>
      <c r="C40" s="26">
        <v>210</v>
      </c>
      <c r="D40" s="27">
        <v>47</v>
      </c>
      <c r="E40" s="27">
        <v>160</v>
      </c>
      <c r="F40" s="27">
        <v>1</v>
      </c>
      <c r="G40" s="27">
        <v>26</v>
      </c>
      <c r="H40" s="27">
        <v>17</v>
      </c>
      <c r="I40" s="28">
        <v>2561</v>
      </c>
    </row>
    <row r="41" spans="1:9" x14ac:dyDescent="0.3">
      <c r="A41" s="4" t="s">
        <v>1</v>
      </c>
      <c r="B41" s="22" t="s">
        <v>56</v>
      </c>
      <c r="C41" s="26">
        <v>151</v>
      </c>
      <c r="D41" s="27">
        <v>28</v>
      </c>
      <c r="E41" s="27">
        <v>89</v>
      </c>
      <c r="F41" s="27" t="s">
        <v>59</v>
      </c>
      <c r="G41" s="27">
        <v>14</v>
      </c>
      <c r="H41" s="27">
        <v>11</v>
      </c>
      <c r="I41" s="28">
        <v>1908</v>
      </c>
    </row>
    <row r="42" spans="1:9" x14ac:dyDescent="0.3">
      <c r="A42" s="4" t="s">
        <v>1</v>
      </c>
      <c r="B42" s="22" t="s">
        <v>55</v>
      </c>
      <c r="C42" s="26">
        <v>93</v>
      </c>
      <c r="D42" s="27">
        <v>31</v>
      </c>
      <c r="E42" s="27">
        <v>50</v>
      </c>
      <c r="F42" s="27" t="s">
        <v>59</v>
      </c>
      <c r="G42" s="27">
        <v>4</v>
      </c>
      <c r="H42" s="27">
        <v>4</v>
      </c>
      <c r="I42" s="28">
        <v>1537</v>
      </c>
    </row>
    <row r="43" spans="1:9" x14ac:dyDescent="0.3">
      <c r="A43" s="4" t="s">
        <v>1</v>
      </c>
      <c r="B43" s="22" t="s">
        <v>53</v>
      </c>
      <c r="C43" s="26">
        <v>75</v>
      </c>
      <c r="D43" s="27">
        <v>31</v>
      </c>
      <c r="E43" s="27">
        <v>82</v>
      </c>
      <c r="F43" s="27" t="s">
        <v>59</v>
      </c>
      <c r="G43" s="27">
        <v>3</v>
      </c>
      <c r="H43" s="27">
        <v>2</v>
      </c>
      <c r="I43" s="28">
        <v>1269</v>
      </c>
    </row>
    <row r="44" spans="1:9" x14ac:dyDescent="0.3">
      <c r="A44" s="4" t="s">
        <v>1</v>
      </c>
      <c r="B44" s="22" t="s">
        <v>35</v>
      </c>
      <c r="C44" s="26">
        <v>314</v>
      </c>
      <c r="D44" s="27">
        <v>87</v>
      </c>
      <c r="E44" s="27">
        <v>146</v>
      </c>
      <c r="F44" s="27" t="s">
        <v>59</v>
      </c>
      <c r="G44" s="27">
        <v>28</v>
      </c>
      <c r="H44" s="27">
        <v>11</v>
      </c>
      <c r="I44" s="28">
        <v>4589</v>
      </c>
    </row>
    <row r="45" spans="1:9" x14ac:dyDescent="0.3">
      <c r="A45" s="4" t="s">
        <v>1</v>
      </c>
      <c r="B45" s="22" t="s">
        <v>16</v>
      </c>
      <c r="C45" s="26">
        <v>430</v>
      </c>
      <c r="D45" s="27">
        <v>40</v>
      </c>
      <c r="E45" s="27">
        <v>307</v>
      </c>
      <c r="F45" s="27" t="s">
        <v>59</v>
      </c>
      <c r="G45" s="27">
        <v>37</v>
      </c>
      <c r="H45" s="27">
        <v>57</v>
      </c>
      <c r="I45" s="28">
        <v>5010</v>
      </c>
    </row>
    <row r="46" spans="1:9" x14ac:dyDescent="0.3">
      <c r="A46" s="4" t="s">
        <v>1</v>
      </c>
      <c r="B46" s="22" t="s">
        <v>3</v>
      </c>
      <c r="C46" s="26">
        <v>254</v>
      </c>
      <c r="D46" s="27">
        <v>20</v>
      </c>
      <c r="E46" s="27">
        <v>178</v>
      </c>
      <c r="F46" s="27" t="s">
        <v>59</v>
      </c>
      <c r="G46" s="27">
        <v>12</v>
      </c>
      <c r="H46" s="27">
        <v>25</v>
      </c>
      <c r="I46" s="28">
        <v>2954</v>
      </c>
    </row>
    <row r="47" spans="1:9" x14ac:dyDescent="0.3">
      <c r="A47" s="4" t="s">
        <v>1</v>
      </c>
      <c r="B47" s="22" t="s">
        <v>14</v>
      </c>
      <c r="C47" s="26">
        <v>157</v>
      </c>
      <c r="D47" s="27">
        <v>20</v>
      </c>
      <c r="E47" s="27">
        <v>67</v>
      </c>
      <c r="F47" s="27" t="s">
        <v>59</v>
      </c>
      <c r="G47" s="27">
        <v>7</v>
      </c>
      <c r="H47" s="27">
        <v>5</v>
      </c>
      <c r="I47" s="28">
        <v>2105</v>
      </c>
    </row>
    <row r="48" spans="1:9" x14ac:dyDescent="0.3">
      <c r="A48" s="4" t="s">
        <v>1</v>
      </c>
      <c r="B48" s="22" t="s">
        <v>13</v>
      </c>
      <c r="C48" s="26">
        <v>59</v>
      </c>
      <c r="D48" s="27" t="s">
        <v>59</v>
      </c>
      <c r="E48" s="27">
        <v>21</v>
      </c>
      <c r="F48" s="27" t="s">
        <v>59</v>
      </c>
      <c r="G48" s="27">
        <v>2</v>
      </c>
      <c r="H48" s="27">
        <v>1</v>
      </c>
      <c r="I48" s="27">
        <v>982</v>
      </c>
    </row>
    <row r="49" spans="1:9" x14ac:dyDescent="0.3">
      <c r="A49" s="4" t="s">
        <v>1</v>
      </c>
      <c r="B49" s="22" t="s">
        <v>41</v>
      </c>
      <c r="C49" s="26">
        <v>101</v>
      </c>
      <c r="D49" s="27">
        <v>9</v>
      </c>
      <c r="E49" s="27">
        <v>39</v>
      </c>
      <c r="F49" s="27" t="s">
        <v>59</v>
      </c>
      <c r="G49" s="27">
        <v>5</v>
      </c>
      <c r="H49" s="27" t="s">
        <v>59</v>
      </c>
      <c r="I49" s="28">
        <v>1240</v>
      </c>
    </row>
    <row r="50" spans="1:9" x14ac:dyDescent="0.3">
      <c r="A50" s="4" t="s">
        <v>1</v>
      </c>
      <c r="B50" s="22" t="s">
        <v>15</v>
      </c>
      <c r="C50" s="26">
        <v>178</v>
      </c>
      <c r="D50" s="27">
        <v>4</v>
      </c>
      <c r="E50" s="27">
        <v>83</v>
      </c>
      <c r="F50" s="27" t="s">
        <v>59</v>
      </c>
      <c r="G50" s="27">
        <v>9</v>
      </c>
      <c r="H50" s="27">
        <v>5</v>
      </c>
      <c r="I50" s="28">
        <v>2682</v>
      </c>
    </row>
  </sheetData>
  <mergeCells count="3">
    <mergeCell ref="B2:B3"/>
    <mergeCell ref="A2:A3"/>
    <mergeCell ref="C2:I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경기도 시군구별 장기요양기관 현황</vt:lpstr>
      <vt:lpstr>경기도 시군구별 장기요양요원 수 현황</vt:lpstr>
      <vt:lpstr>'경기도 시군구별 장기요양기관 현황'!Print_Titles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2024-04-02T00:52:53Z</cp:lastPrinted>
  <dcterms:created xsi:type="dcterms:W3CDTF">2023-09-05T02:42:37Z</dcterms:created>
  <dcterms:modified xsi:type="dcterms:W3CDTF">2026-07-21T06:49:45Z</dcterms:modified>
</cp:coreProperties>
</file>